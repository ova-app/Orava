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\OneDrive\Documents\GitHub\Orava\data\"/>
    </mc:Choice>
  </mc:AlternateContent>
  <xr:revisionPtr revIDLastSave="0" documentId="13_ncr:1_{69DF417E-1DC9-418B-AB0F-5B78F818DCD2}" xr6:coauthVersionLast="47" xr6:coauthVersionMax="47" xr10:uidLastSave="{00000000-0000-0000-0000-000000000000}"/>
  <bookViews>
    <workbookView xWindow="-110" yWindow="-110" windowWidth="19420" windowHeight="10300" xr2:uid="{9DF677CB-CDE3-4AF1-8B1E-695B0A3AAC34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1" l="1"/>
  <c r="E48" i="1"/>
  <c r="D48" i="1"/>
  <c r="C48" i="1"/>
  <c r="B48" i="1"/>
  <c r="F47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8" i="1"/>
  <c r="E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18" i="1"/>
  <c r="E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E11" i="1"/>
  <c r="D11" i="1"/>
  <c r="C11" i="1"/>
  <c r="B11" i="1"/>
  <c r="F10" i="1"/>
  <c r="E10" i="1"/>
  <c r="D10" i="1"/>
  <c r="C10" i="1"/>
  <c r="B10" i="1"/>
  <c r="F8" i="1"/>
  <c r="E8" i="1"/>
  <c r="D8" i="1"/>
  <c r="C8" i="1"/>
  <c r="B8" i="1"/>
  <c r="F7" i="1"/>
  <c r="E7" i="1"/>
  <c r="D7" i="1"/>
  <c r="C7" i="1"/>
  <c r="B7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E2" i="1"/>
  <c r="D2" i="1"/>
  <c r="C2" i="1"/>
  <c r="B2" i="1"/>
</calcChain>
</file>

<file path=xl/sharedStrings.xml><?xml version="1.0" encoding="utf-8"?>
<sst xmlns="http://schemas.openxmlformats.org/spreadsheetml/2006/main" count="58" uniqueCount="57">
  <si>
    <t>nom</t>
  </si>
  <si>
    <t>Poulet</t>
  </si>
  <si>
    <t>Steak</t>
  </si>
  <si>
    <t>Thon</t>
  </si>
  <si>
    <t>Œufs (1u)</t>
  </si>
  <si>
    <t>Feta</t>
  </si>
  <si>
    <t>Lentilles</t>
  </si>
  <si>
    <t>Lardon</t>
  </si>
  <si>
    <t>Jambon</t>
  </si>
  <si>
    <t>Pois chiche</t>
  </si>
  <si>
    <t>Tranche de poulet</t>
  </si>
  <si>
    <t>Cordon bleu</t>
  </si>
  <si>
    <t>Croquette de colin</t>
  </si>
  <si>
    <t>Filet de colin</t>
  </si>
  <si>
    <t>Poisson</t>
  </si>
  <si>
    <t>Banane (1u)</t>
  </si>
  <si>
    <t>Clémentine (1u)</t>
  </si>
  <si>
    <t>Pomme</t>
  </si>
  <si>
    <t>Fromage blanc</t>
  </si>
  <si>
    <t>Amandier</t>
  </si>
  <si>
    <t>Kinder délice</t>
  </si>
  <si>
    <t>Petit écolier</t>
  </si>
  <si>
    <t>Cookies Granola</t>
  </si>
  <si>
    <t>Miel</t>
  </si>
  <si>
    <t>Beurre de cacahuète</t>
  </si>
  <si>
    <t>Yaourt perle de lait</t>
  </si>
  <si>
    <t>Yaourt la laitière</t>
  </si>
  <si>
    <t>Pain de mie (u)</t>
  </si>
  <si>
    <t>Compote Andros</t>
  </si>
  <si>
    <t>Pâtes completes</t>
  </si>
  <si>
    <t>Riz basmati (cru)</t>
  </si>
  <si>
    <t>Pomme de terre</t>
  </si>
  <si>
    <t>Pain complet</t>
  </si>
  <si>
    <t>Boulgour</t>
  </si>
  <si>
    <t>Quinoa</t>
  </si>
  <si>
    <t>Haricot vert</t>
  </si>
  <si>
    <t>Sauce tomate</t>
  </si>
  <si>
    <t>Crème frâche</t>
  </si>
  <si>
    <t>Lait de coco</t>
  </si>
  <si>
    <t>Ratatouille</t>
  </si>
  <si>
    <t>Flageolets</t>
  </si>
  <si>
    <t>Tomate (1u)</t>
  </si>
  <si>
    <t>Comcombre (1/2u)</t>
  </si>
  <si>
    <t>Oignon (1u)</t>
  </si>
  <si>
    <t xml:space="preserve">Courgette </t>
  </si>
  <si>
    <t>Pois chiches</t>
  </si>
  <si>
    <t>Poivron</t>
  </si>
  <si>
    <t>Chocolat 85% (1 carré)</t>
  </si>
  <si>
    <t>Concentré de tomate</t>
  </si>
  <si>
    <t>Fromage pâte préssée</t>
  </si>
  <si>
    <t>Parmesan</t>
  </si>
  <si>
    <t>Avocat</t>
  </si>
  <si>
    <t>t.zinc (mg/g)</t>
  </si>
  <si>
    <t>t.mg (mg/g)</t>
  </si>
  <si>
    <t>t.vitd (mg/g)</t>
  </si>
  <si>
    <t>t.vitc (mg/g)</t>
  </si>
  <si>
    <t>t.fer (mg/g)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</si>
</sst>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6388-A7D9-4B3E-89C4-7A29C935A474}">
  <dimension ref="A1:F53"/>
  <sheetViews>
    <sheetView tabSelected="1" topLeftCell="A2" zoomScale="85" zoomScaleNormal="85" workbookViewId="0">
      <selection activeCell="J16" sqref="J16"/>
    </sheetView>
  </sheetViews>
  <sheetFormatPr baseColWidth="10" defaultRowHeight="14.5" x14ac:dyDescent="0.35"/>
  <cols>
    <col min="1" max="1" width="22.81640625" style="1" customWidth="1"/>
    <col min="2" max="2" width="14.36328125" style="1" customWidth="1"/>
    <col min="3" max="3" width="10.90625" style="1"/>
    <col min="4" max="4" width="11.90625" style="1" customWidth="1"/>
    <col min="5" max="16384" width="10.90625" style="1"/>
  </cols>
  <sheetData>
    <row r="1" spans="1:6" s="2" customFormat="1" ht="36" customHeight="1" x14ac:dyDescent="0.35">
      <c r="A1" s="2" t="s">
        <v>0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</row>
    <row r="2" spans="1:6" x14ac:dyDescent="0.35">
      <c r="A2" s="1" t="s">
        <v>1</v>
      </c>
      <c r="B2" s="1">
        <f>0.72</f>
        <v>0.72</v>
      </c>
      <c r="C2" s="1">
        <f>37</f>
        <v>37</v>
      </c>
      <c r="D2" s="1">
        <f>0</f>
        <v>0</v>
      </c>
      <c r="E2" s="1">
        <f>1.43</f>
        <v>1.43</v>
      </c>
      <c r="F2" s="1">
        <v>0.39</v>
      </c>
    </row>
    <row r="3" spans="1:6" x14ac:dyDescent="0.35">
      <c r="A3" s="1" t="s">
        <v>2</v>
      </c>
      <c r="B3" s="1">
        <f>5.05</f>
        <v>5.05</v>
      </c>
      <c r="C3" s="1">
        <f>28.6</f>
        <v>28.6</v>
      </c>
      <c r="D3" s="1">
        <f>0</f>
        <v>0</v>
      </c>
      <c r="E3" s="1">
        <f>0</f>
        <v>0</v>
      </c>
      <c r="F3" s="1">
        <f>2.62</f>
        <v>2.62</v>
      </c>
    </row>
    <row r="4" spans="1:6" x14ac:dyDescent="0.35">
      <c r="A4" s="1" t="s">
        <v>3</v>
      </c>
      <c r="B4" s="1">
        <f>0.44</f>
        <v>0.44</v>
      </c>
      <c r="C4" s="1">
        <f>46</f>
        <v>46</v>
      </c>
      <c r="D4" s="1">
        <f>1.83</f>
        <v>1.83</v>
      </c>
      <c r="E4" s="1">
        <f>0</f>
        <v>0</v>
      </c>
      <c r="F4" s="1">
        <f>1.8</f>
        <v>1.8</v>
      </c>
    </row>
    <row r="5" spans="1:6" x14ac:dyDescent="0.35">
      <c r="A5" s="3" t="s">
        <v>4</v>
      </c>
      <c r="B5" s="1">
        <f>1.1</f>
        <v>1.1000000000000001</v>
      </c>
      <c r="C5" s="1">
        <f>10.8</f>
        <v>10.8</v>
      </c>
      <c r="D5" s="1">
        <f>2</f>
        <v>2</v>
      </c>
      <c r="E5" s="1">
        <f>0</f>
        <v>0</v>
      </c>
      <c r="F5" s="1">
        <f>1.75</f>
        <v>1.75</v>
      </c>
    </row>
    <row r="6" spans="1:6" x14ac:dyDescent="0.35">
      <c r="A6" s="3" t="s">
        <v>5</v>
      </c>
    </row>
    <row r="7" spans="1:6" x14ac:dyDescent="0.35">
      <c r="A7" s="1" t="s">
        <v>6</v>
      </c>
      <c r="B7" s="1">
        <f>1.1</f>
        <v>1.1000000000000001</v>
      </c>
      <c r="C7" s="1">
        <f>31</f>
        <v>31</v>
      </c>
      <c r="D7" s="1">
        <f>0</f>
        <v>0</v>
      </c>
      <c r="E7" s="1">
        <f>0</f>
        <v>0</v>
      </c>
      <c r="F7" s="1">
        <f>2.5</f>
        <v>2.5</v>
      </c>
    </row>
    <row r="8" spans="1:6" x14ac:dyDescent="0.35">
      <c r="A8" s="1" t="s">
        <v>7</v>
      </c>
      <c r="B8" s="1">
        <f>2.1</f>
        <v>2.1</v>
      </c>
      <c r="C8" s="1">
        <f>22</f>
        <v>22</v>
      </c>
      <c r="D8" s="1">
        <f>0</f>
        <v>0</v>
      </c>
      <c r="E8" s="1">
        <f>0</f>
        <v>0</v>
      </c>
      <c r="F8" s="1">
        <f>0.5</f>
        <v>0.5</v>
      </c>
    </row>
    <row r="9" spans="1:6" x14ac:dyDescent="0.35">
      <c r="A9" s="3" t="s">
        <v>8</v>
      </c>
    </row>
    <row r="10" spans="1:6" x14ac:dyDescent="0.35">
      <c r="A10" s="1" t="s">
        <v>9</v>
      </c>
      <c r="B10" s="1">
        <f>1.1</f>
        <v>1.1000000000000001</v>
      </c>
      <c r="C10" s="1">
        <f>44</f>
        <v>44</v>
      </c>
      <c r="D10" s="1">
        <f>0</f>
        <v>0</v>
      </c>
      <c r="E10" s="1">
        <f>0</f>
        <v>0</v>
      </c>
      <c r="F10" s="1">
        <f>1.3</f>
        <v>1.3</v>
      </c>
    </row>
    <row r="11" spans="1:6" x14ac:dyDescent="0.35">
      <c r="A11" s="1" t="s">
        <v>10</v>
      </c>
      <c r="B11" s="1">
        <f>0.72</f>
        <v>0.72</v>
      </c>
      <c r="C11" s="1">
        <f>37</f>
        <v>37</v>
      </c>
      <c r="D11" s="1">
        <f>0</f>
        <v>0</v>
      </c>
      <c r="E11" s="1">
        <f>1.43</f>
        <v>1.43</v>
      </c>
      <c r="F11" s="1">
        <v>0.39</v>
      </c>
    </row>
    <row r="12" spans="1:6" x14ac:dyDescent="0.35">
      <c r="A12" s="1" t="s">
        <v>11</v>
      </c>
      <c r="B12" s="1">
        <f>1.16</f>
        <v>1.1599999999999999</v>
      </c>
      <c r="C12" s="1">
        <f>37.6</f>
        <v>37.6</v>
      </c>
      <c r="D12" s="1">
        <f>0</f>
        <v>0</v>
      </c>
      <c r="E12" s="1">
        <f>0</f>
        <v>0</v>
      </c>
      <c r="F12" s="1">
        <f>0.68</f>
        <v>0.68</v>
      </c>
    </row>
    <row r="13" spans="1:6" x14ac:dyDescent="0.35">
      <c r="A13" s="1" t="s">
        <v>12</v>
      </c>
      <c r="B13" s="1">
        <f>0.46</f>
        <v>0.46</v>
      </c>
      <c r="C13" s="1">
        <f>34.8</f>
        <v>34.799999999999997</v>
      </c>
      <c r="D13" s="1">
        <f>0.73</f>
        <v>0.73</v>
      </c>
      <c r="E13" s="1">
        <f>1.09</f>
        <v>1.0900000000000001</v>
      </c>
      <c r="F13" s="1">
        <f>0.2</f>
        <v>0.2</v>
      </c>
    </row>
    <row r="14" spans="1:6" x14ac:dyDescent="0.35">
      <c r="A14" s="1" t="s">
        <v>13</v>
      </c>
      <c r="B14" s="1">
        <f>0.46</f>
        <v>0.46</v>
      </c>
      <c r="C14" s="1">
        <f>34.8</f>
        <v>34.799999999999997</v>
      </c>
      <c r="D14" s="1">
        <f>0.73</f>
        <v>0.73</v>
      </c>
      <c r="E14" s="1">
        <f>1.09</f>
        <v>1.0900000000000001</v>
      </c>
      <c r="F14" s="1">
        <f>0.2</f>
        <v>0.2</v>
      </c>
    </row>
    <row r="15" spans="1:6" x14ac:dyDescent="0.35">
      <c r="A15" s="1" t="s">
        <v>14</v>
      </c>
      <c r="B15" s="1">
        <f>0.61</f>
        <v>0.61</v>
      </c>
      <c r="C15" s="1">
        <f>30</f>
        <v>30</v>
      </c>
      <c r="D15" s="1">
        <f>3.69</f>
        <v>3.69</v>
      </c>
      <c r="E15" s="1">
        <f>0.96</f>
        <v>0.96</v>
      </c>
      <c r="F15" s="1">
        <f>0.69</f>
        <v>0.69</v>
      </c>
    </row>
    <row r="16" spans="1:6" x14ac:dyDescent="0.35">
      <c r="A16" s="3" t="s">
        <v>15</v>
      </c>
      <c r="B16" s="1">
        <f>0.14</f>
        <v>0.14000000000000001</v>
      </c>
      <c r="C16" s="1">
        <f>28</f>
        <v>28</v>
      </c>
      <c r="D16" s="1">
        <f>0</f>
        <v>0</v>
      </c>
      <c r="E16" s="1">
        <f>7.16</f>
        <v>7.16</v>
      </c>
      <c r="F16" s="1">
        <f>0.2</f>
        <v>0.2</v>
      </c>
    </row>
    <row r="17" spans="1:6" x14ac:dyDescent="0.35">
      <c r="A17" s="3" t="s">
        <v>16</v>
      </c>
      <c r="B17" s="1">
        <f>0.1</f>
        <v>0.1</v>
      </c>
      <c r="C17" s="1">
        <f>0</f>
        <v>0</v>
      </c>
      <c r="D17" s="1">
        <f>0</f>
        <v>0</v>
      </c>
      <c r="E17" s="1">
        <f>49.2</f>
        <v>49.2</v>
      </c>
      <c r="F17" s="1">
        <f>0.09</f>
        <v>0.09</v>
      </c>
    </row>
    <row r="18" spans="1:6" x14ac:dyDescent="0.35">
      <c r="A18" s="1" t="s">
        <v>17</v>
      </c>
      <c r="B18" s="1">
        <f>0</f>
        <v>0</v>
      </c>
      <c r="C18" s="1">
        <f>3</f>
        <v>3</v>
      </c>
      <c r="D18" s="1">
        <f>0</f>
        <v>0</v>
      </c>
      <c r="E18" s="1">
        <f>2.13</f>
        <v>2.13</v>
      </c>
      <c r="F18" s="1">
        <f>0.07</f>
        <v>7.0000000000000007E-2</v>
      </c>
    </row>
    <row r="19" spans="1:6" x14ac:dyDescent="0.35">
      <c r="A19" s="3" t="s">
        <v>18</v>
      </c>
    </row>
    <row r="20" spans="1:6" x14ac:dyDescent="0.35">
      <c r="A20" s="3" t="s">
        <v>19</v>
      </c>
    </row>
    <row r="21" spans="1:6" x14ac:dyDescent="0.35">
      <c r="A21" s="3" t="s">
        <v>20</v>
      </c>
    </row>
    <row r="22" spans="1:6" x14ac:dyDescent="0.35">
      <c r="A22" s="3" t="s">
        <v>21</v>
      </c>
    </row>
    <row r="23" spans="1:6" x14ac:dyDescent="0.35">
      <c r="A23" s="3" t="s">
        <v>22</v>
      </c>
    </row>
    <row r="24" spans="1:6" x14ac:dyDescent="0.35">
      <c r="A24" s="3" t="s">
        <v>23</v>
      </c>
    </row>
    <row r="25" spans="1:6" x14ac:dyDescent="0.35">
      <c r="A25" s="1" t="s">
        <v>24</v>
      </c>
      <c r="B25" s="1">
        <f>2.76</f>
        <v>2.76</v>
      </c>
      <c r="C25" s="1">
        <f>174</f>
        <v>174</v>
      </c>
      <c r="D25" s="1">
        <f>0</f>
        <v>0</v>
      </c>
      <c r="E25" s="1">
        <f>0</f>
        <v>0</v>
      </c>
      <c r="F25" s="1">
        <f>1.92</f>
        <v>1.92</v>
      </c>
    </row>
    <row r="26" spans="1:6" x14ac:dyDescent="0.35">
      <c r="A26" s="1" t="s">
        <v>25</v>
      </c>
      <c r="B26" s="1">
        <f>0.38</f>
        <v>0.38</v>
      </c>
      <c r="C26" s="1">
        <f>11.5</f>
        <v>11.5</v>
      </c>
      <c r="D26" s="1">
        <f>0.48</f>
        <v>0.48</v>
      </c>
      <c r="E26" s="1">
        <f>0.28</f>
        <v>0.28000000000000003</v>
      </c>
      <c r="F26" s="1">
        <f>0.16</f>
        <v>0.16</v>
      </c>
    </row>
    <row r="27" spans="1:6" x14ac:dyDescent="0.35">
      <c r="A27" s="1" t="s">
        <v>26</v>
      </c>
      <c r="B27" s="1">
        <f>0.38</f>
        <v>0.38</v>
      </c>
      <c r="C27" s="1">
        <f>11.5</f>
        <v>11.5</v>
      </c>
      <c r="D27" s="1">
        <f>0.48</f>
        <v>0.48</v>
      </c>
      <c r="E27" s="1">
        <f>0.28</f>
        <v>0.28000000000000003</v>
      </c>
      <c r="F27" s="1">
        <f>0.16</f>
        <v>0.16</v>
      </c>
    </row>
    <row r="28" spans="1:6" x14ac:dyDescent="0.35">
      <c r="A28" s="3" t="s">
        <v>27</v>
      </c>
      <c r="B28" s="1">
        <f>0.49</f>
        <v>0.49</v>
      </c>
      <c r="C28" s="1">
        <f>20</f>
        <v>20</v>
      </c>
      <c r="E28" s="1">
        <f>0</f>
        <v>0</v>
      </c>
      <c r="F28" s="1">
        <f>0.74</f>
        <v>0.74</v>
      </c>
    </row>
    <row r="29" spans="1:6" x14ac:dyDescent="0.35">
      <c r="A29" s="3" t="s">
        <v>28</v>
      </c>
    </row>
    <row r="30" spans="1:6" x14ac:dyDescent="0.35">
      <c r="A30" s="1" t="s">
        <v>29</v>
      </c>
      <c r="B30" s="1">
        <f>0.99</f>
        <v>0.99</v>
      </c>
      <c r="C30" s="1">
        <f>36</f>
        <v>36</v>
      </c>
      <c r="D30" s="1">
        <f>0</f>
        <v>0</v>
      </c>
      <c r="E30" s="1">
        <f>0</f>
        <v>0</v>
      </c>
      <c r="F30" s="1">
        <f>0.98</f>
        <v>0.98</v>
      </c>
    </row>
    <row r="31" spans="1:6" x14ac:dyDescent="0.35">
      <c r="A31" s="1" t="s">
        <v>30</v>
      </c>
      <c r="B31" s="1">
        <f>0.62</f>
        <v>0.62</v>
      </c>
      <c r="C31" s="1">
        <f>49</f>
        <v>49</v>
      </c>
      <c r="D31" s="1">
        <f>0</f>
        <v>0</v>
      </c>
      <c r="E31" s="1">
        <f>0</f>
        <v>0</v>
      </c>
      <c r="F31" s="1">
        <f>0.32</f>
        <v>0.32</v>
      </c>
    </row>
    <row r="32" spans="1:6" x14ac:dyDescent="0.35">
      <c r="A32" s="1" t="s">
        <v>31</v>
      </c>
      <c r="B32" s="1">
        <f>0.24</f>
        <v>0.24</v>
      </c>
      <c r="C32" s="1">
        <f>21.7</f>
        <v>21.7</v>
      </c>
      <c r="D32" s="1">
        <f>0</f>
        <v>0</v>
      </c>
      <c r="E32" s="1">
        <f>12.8</f>
        <v>12.8</v>
      </c>
      <c r="F32" s="1">
        <f>0.35</f>
        <v>0.35</v>
      </c>
    </row>
    <row r="33" spans="1:6" x14ac:dyDescent="0.35">
      <c r="A33" s="3" t="s">
        <v>32</v>
      </c>
    </row>
    <row r="34" spans="1:6" x14ac:dyDescent="0.35">
      <c r="A34" s="3" t="s">
        <v>33</v>
      </c>
    </row>
    <row r="35" spans="1:6" x14ac:dyDescent="0.35">
      <c r="A35" s="3" t="s">
        <v>34</v>
      </c>
    </row>
    <row r="36" spans="1:6" x14ac:dyDescent="0.35">
      <c r="A36" s="3" t="s">
        <v>35</v>
      </c>
    </row>
    <row r="37" spans="1:6" x14ac:dyDescent="0.35">
      <c r="A37" s="3" t="s">
        <v>36</v>
      </c>
    </row>
    <row r="38" spans="1:6" x14ac:dyDescent="0.35">
      <c r="A38" s="3" t="s">
        <v>37</v>
      </c>
    </row>
    <row r="39" spans="1:6" x14ac:dyDescent="0.35">
      <c r="A39" s="3" t="s">
        <v>38</v>
      </c>
    </row>
    <row r="40" spans="1:6" x14ac:dyDescent="0.35">
      <c r="A40" s="3" t="s">
        <v>39</v>
      </c>
    </row>
    <row r="41" spans="1:6" x14ac:dyDescent="0.35">
      <c r="A41" s="3" t="s">
        <v>40</v>
      </c>
    </row>
    <row r="42" spans="1:6" x14ac:dyDescent="0.35">
      <c r="A42" s="3" t="s">
        <v>41</v>
      </c>
    </row>
    <row r="43" spans="1:6" x14ac:dyDescent="0.35">
      <c r="A43" s="3" t="s">
        <v>42</v>
      </c>
    </row>
    <row r="44" spans="1:6" x14ac:dyDescent="0.35">
      <c r="A44" s="3" t="s">
        <v>43</v>
      </c>
      <c r="B44" s="1">
        <f>0.21</f>
        <v>0.21</v>
      </c>
      <c r="C44" s="1">
        <f>9.3</f>
        <v>9.3000000000000007</v>
      </c>
      <c r="D44" s="1">
        <f>0</f>
        <v>0</v>
      </c>
      <c r="E44" s="1">
        <f>2.31</f>
        <v>2.31</v>
      </c>
      <c r="F44" s="1">
        <f>0.24</f>
        <v>0.24</v>
      </c>
    </row>
    <row r="45" spans="1:6" x14ac:dyDescent="0.35">
      <c r="A45" s="1" t="s">
        <v>44</v>
      </c>
      <c r="B45" s="1">
        <f>0.22</f>
        <v>0.22</v>
      </c>
      <c r="C45" s="1">
        <f>22.3</f>
        <v>22.3</v>
      </c>
      <c r="D45" s="1">
        <f>0</f>
        <v>0</v>
      </c>
      <c r="E45" s="1">
        <f>2.9</f>
        <v>2.9</v>
      </c>
      <c r="F45" s="1">
        <f>0.32</f>
        <v>0.32</v>
      </c>
    </row>
    <row r="46" spans="1:6" x14ac:dyDescent="0.35">
      <c r="A46" s="1" t="s">
        <v>45</v>
      </c>
      <c r="B46" s="1">
        <f>1.1</f>
        <v>1.1000000000000001</v>
      </c>
      <c r="C46" s="1">
        <f>44</f>
        <v>44</v>
      </c>
      <c r="D46" s="1">
        <f>0</f>
        <v>0</v>
      </c>
      <c r="E46" s="1">
        <f>0</f>
        <v>0</v>
      </c>
      <c r="F46" s="1">
        <f>1.3</f>
        <v>1.3</v>
      </c>
    </row>
    <row r="47" spans="1:6" x14ac:dyDescent="0.35">
      <c r="A47" s="1" t="s">
        <v>46</v>
      </c>
      <c r="B47" s="1">
        <f>0.14</f>
        <v>0.14000000000000001</v>
      </c>
      <c r="C47" s="1">
        <f>11</f>
        <v>11</v>
      </c>
      <c r="D47" s="1">
        <f>0</f>
        <v>0</v>
      </c>
      <c r="E47" s="1">
        <f>126</f>
        <v>126</v>
      </c>
      <c r="F47" s="1">
        <f>0.23</f>
        <v>0.23</v>
      </c>
    </row>
    <row r="48" spans="1:6" x14ac:dyDescent="0.35">
      <c r="A48" s="3" t="s">
        <v>47</v>
      </c>
      <c r="B48" s="1">
        <f>3</f>
        <v>3</v>
      </c>
      <c r="C48" s="1">
        <f>200</f>
        <v>200</v>
      </c>
      <c r="D48" s="1">
        <f>2.16</f>
        <v>2.16</v>
      </c>
      <c r="E48" s="1">
        <f>0</f>
        <v>0</v>
      </c>
      <c r="F48" s="1">
        <f>11</f>
        <v>11</v>
      </c>
    </row>
    <row r="49" spans="1:1" x14ac:dyDescent="0.35">
      <c r="A49" s="3" t="s">
        <v>48</v>
      </c>
    </row>
    <row r="50" spans="1:1" x14ac:dyDescent="0.35">
      <c r="A50" s="3" t="s">
        <v>5</v>
      </c>
    </row>
    <row r="51" spans="1:1" x14ac:dyDescent="0.35">
      <c r="A51" s="3" t="s">
        <v>49</v>
      </c>
    </row>
    <row r="52" spans="1:1" x14ac:dyDescent="0.35">
      <c r="A52" s="3" t="s">
        <v>50</v>
      </c>
    </row>
    <row r="53" spans="1:1" x14ac:dyDescent="0.35">
      <c r="A53" s="3" t="s">
        <v>51</v>
      </c>
    </row>
  </sheetData>
  <pageMargins left="0.7" right="0.7" top="0.75" bottom="0.75" header="0.3" footer="0.3"/>
  <ignoredErrors>
    <ignoredError sqref="C18 F15 E11 E4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Sofiane Bessila</dc:creator>
  <cp:lastModifiedBy>Sofiane Bessila</cp:lastModifiedBy>
  <dcterms:created xsi:type="dcterms:W3CDTF">2025-03-10T19:38:59Z</dcterms:created>
  <dcterms:modified xsi:type="dcterms:W3CDTF">2025-03-29T12:03:52Z</dcterms:modified>
</cp:coreProperties>
</file>